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mara\Documents\Important Files\"/>
    </mc:Choice>
  </mc:AlternateContent>
  <xr:revisionPtr revIDLastSave="0" documentId="13_ncr:1_{7995A2B5-8F86-43D5-AE0D-AB5316FF844E}" xr6:coauthVersionLast="47" xr6:coauthVersionMax="47" xr10:uidLastSave="{00000000-0000-0000-0000-000000000000}"/>
  <bookViews>
    <workbookView xWindow="-108" yWindow="-108" windowWidth="23256" windowHeight="12456" xr2:uid="{0BB7AF21-0D6A-40FC-AFB3-9B73213EFCBB}"/>
  </bookViews>
  <sheets>
    <sheet name="Sheet1" sheetId="1" r:id="rId1"/>
    <sheet name="Sheet2" sheetId="2" r:id="rId2"/>
  </sheets>
  <definedNames>
    <definedName name="solver_adj" localSheetId="0" hidden="1">Sheet1!$D$13:$G$13</definedName>
    <definedName name="solver_eng" localSheetId="0" hidden="1">2</definedName>
    <definedName name="solver_lhs1" localSheetId="0" hidden="1">Sheet1!$I$7:$I$11</definedName>
    <definedName name="solver_lhs2" localSheetId="0" hidden="1">Sheet1!$D$13:$G$13</definedName>
    <definedName name="solver_lin" localSheetId="0" hidden="1">1</definedName>
    <definedName name="solver_neg" localSheetId="0" hidden="1">1</definedName>
    <definedName name="solver_num" localSheetId="0" hidden="1">2</definedName>
    <definedName name="solver_opt" localSheetId="0" hidden="1">Sheet1!$D$14</definedName>
    <definedName name="solver_rel1" localSheetId="0" hidden="1">1</definedName>
    <definedName name="solver_rel2" localSheetId="0" hidden="1">4</definedName>
    <definedName name="solver_rhs1" localSheetId="0" hidden="1">Sheet1!$H$7:$H$11</definedName>
    <definedName name="solver_rhs2" localSheetId="0" hidden="1">"integer"</definedName>
    <definedName name="solver_rlx" localSheetId="0" hidden="1">2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" l="1"/>
  <c r="I11" i="1"/>
  <c r="J11" i="1" s="1"/>
  <c r="I10" i="1"/>
  <c r="J10" i="1" s="1"/>
  <c r="I9" i="1"/>
  <c r="J9" i="1" s="1"/>
  <c r="I8" i="1"/>
  <c r="J8" i="1" s="1"/>
  <c r="I7" i="1"/>
  <c r="J7" i="1" s="1"/>
</calcChain>
</file>

<file path=xl/sharedStrings.xml><?xml version="1.0" encoding="utf-8"?>
<sst xmlns="http://schemas.openxmlformats.org/spreadsheetml/2006/main" count="28" uniqueCount="24">
  <si>
    <t>A Product Mix Example</t>
  </si>
  <si>
    <t>Project Description</t>
  </si>
  <si>
    <t>Products</t>
  </si>
  <si>
    <t>x1</t>
  </si>
  <si>
    <t>x2</t>
  </si>
  <si>
    <t>x3</t>
  </si>
  <si>
    <t>x4</t>
  </si>
  <si>
    <t>Profit per box</t>
  </si>
  <si>
    <t>Resources</t>
  </si>
  <si>
    <t>Available</t>
  </si>
  <si>
    <t>Usage</t>
  </si>
  <si>
    <t>Left Over</t>
  </si>
  <si>
    <t xml:space="preserve">    Processing time (hr/dozen box)</t>
  </si>
  <si>
    <t xml:space="preserve">    Shipping capacity(boxes)</t>
  </si>
  <si>
    <t xml:space="preserve">    bought ($/box)</t>
  </si>
  <si>
    <t xml:space="preserve">    blank sweatshirts (boxes)</t>
  </si>
  <si>
    <t xml:space="preserve">    blandT-shirt (boxes)</t>
  </si>
  <si>
    <t>Production</t>
  </si>
  <si>
    <t>Profit</t>
  </si>
  <si>
    <t>Where</t>
  </si>
  <si>
    <t>sweatshirts, front printing</t>
  </si>
  <si>
    <t>sweatshirts, front and back printing</t>
  </si>
  <si>
    <t>T-shirts, front printing</t>
  </si>
  <si>
    <t>T-shirts, front and back printing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</si>
</sst>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/>
  </cellStyleXfs>
  <cellXfs count="12">
    <xf numFmtId="0" fontId="0" fillId="0" borderId="0" xfId="0"/>
    <xf numFmtId="0" fontId="3" fillId="0" borderId="0" xfId="2"/>
    <xf numFmtId="0" fontId="2" fillId="0" borderId="0" xfId="1"/>
    <xf numFmtId="0" fontId="3" fillId="0" borderId="1" xfId="2" applyBorder="1"/>
    <xf numFmtId="0" fontId="3" fillId="0" borderId="2" xfId="2" applyBorder="1" applyAlignment="1">
      <alignment horizontal="right"/>
    </xf>
    <xf numFmtId="0" fontId="3" fillId="0" borderId="2" xfId="2" applyBorder="1"/>
    <xf numFmtId="1" fontId="3" fillId="2" borderId="0" xfId="2" applyNumberFormat="1" applyFill="1"/>
    <xf numFmtId="1" fontId="3" fillId="2" borderId="1" xfId="2" applyNumberFormat="1" applyFill="1" applyBorder="1"/>
    <xf numFmtId="164" fontId="3" fillId="3" borderId="3" xfId="2" applyNumberFormat="1" applyFill="1" applyBorder="1"/>
    <xf numFmtId="2" fontId="3" fillId="0" borderId="0" xfId="2" applyNumberFormat="1"/>
    <xf numFmtId="164" fontId="3" fillId="4" borderId="0" xfId="2" applyNumberFormat="1" applyFill="1"/>
    <xf numFmtId="164" fontId="3" fillId="0" borderId="0" xfId="2" applyNumberFormat="1"/>
  </cellXfs>
  <cellStyles count="3">
    <cellStyle name="Hyperlink" xfId="1" builtinId="8"/>
    <cellStyle name="Normal" xfId="0" builtinId="0"/>
    <cellStyle name="Normal 2" xfId="2" xr:uid="{579184C5-D06A-41E4-A24F-5213D0D7BA9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510540</xdr:colOff>
          <xdr:row>4</xdr:row>
          <xdr:rowOff>76200</xdr:rowOff>
        </xdr:from>
        <xdr:to>
          <xdr:col>15</xdr:col>
          <xdr:colOff>457200</xdr:colOff>
          <xdr:row>9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D525171-D940-4F37-92F5-1B6E3B109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Optimize # of sweatshirts &amp; T-shirts produced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docs.google.com/document/d/1DN5JtC8wmrRf009lZ4Td6rjdQmRmwAwERmSQUsW5GFU/edit?usp=sharing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E99AF-ED5F-4514-917C-F7A8DC5D670D}">
  <sheetPr codeName="Sheet1"/>
  <dimension ref="A1:U19"/>
  <sheetViews>
    <sheetView tabSelected="1" workbookViewId="0">
      <selection activeCell="L15" sqref="L15"/>
    </sheetView>
  </sheetViews>
  <sheetFormatPr defaultRowHeight="14.4" x14ac:dyDescent="0.3"/>
  <sheetData>
    <row r="1" spans="1:21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21" x14ac:dyDescent="0.3">
      <c r="A2" s="1"/>
      <c r="B2" s="1"/>
      <c r="C2" s="1"/>
      <c r="D2" s="1"/>
      <c r="E2" s="1"/>
      <c r="F2" s="1"/>
      <c r="G2" s="1"/>
      <c r="H2" s="1"/>
      <c r="I2" s="1"/>
      <c r="J2" s="1"/>
    </row>
    <row r="3" spans="1:21" ht="15" thickBot="1" x14ac:dyDescent="0.35">
      <c r="A3" s="3"/>
      <c r="B3" s="3"/>
      <c r="C3" s="3"/>
      <c r="D3" s="3"/>
      <c r="E3" s="3"/>
      <c r="F3" s="3"/>
      <c r="G3" s="3"/>
      <c r="H3" s="1"/>
      <c r="I3" s="1"/>
      <c r="J3" s="1"/>
    </row>
    <row r="4" spans="1:21" ht="15" thickBot="1" x14ac:dyDescent="0.35">
      <c r="A4" s="1" t="s">
        <v>2</v>
      </c>
      <c r="B4" s="1"/>
      <c r="C4" s="1"/>
      <c r="D4" s="4" t="s">
        <v>3</v>
      </c>
      <c r="E4" s="4" t="s">
        <v>4</v>
      </c>
      <c r="F4" s="4" t="s">
        <v>5</v>
      </c>
      <c r="G4" s="4" t="s">
        <v>6</v>
      </c>
      <c r="H4" s="1"/>
      <c r="I4" s="1"/>
      <c r="J4" s="1"/>
    </row>
    <row r="5" spans="1:21" ht="15" thickBot="1" x14ac:dyDescent="0.35">
      <c r="A5" s="3" t="s">
        <v>7</v>
      </c>
      <c r="B5" s="3"/>
      <c r="C5" s="3"/>
      <c r="D5" s="3">
        <v>90</v>
      </c>
      <c r="E5" s="3">
        <v>125</v>
      </c>
      <c r="F5" s="3">
        <v>45</v>
      </c>
      <c r="G5" s="3">
        <v>65</v>
      </c>
      <c r="H5" s="3"/>
      <c r="I5" s="3"/>
      <c r="J5" s="3"/>
    </row>
    <row r="6" spans="1:21" ht="15" thickBot="1" x14ac:dyDescent="0.35">
      <c r="A6" s="5" t="s">
        <v>8</v>
      </c>
      <c r="B6" s="5"/>
      <c r="C6" s="5"/>
      <c r="D6" s="5"/>
      <c r="E6" s="5"/>
      <c r="F6" s="5"/>
      <c r="G6" s="5"/>
      <c r="H6" s="5" t="s">
        <v>9</v>
      </c>
      <c r="I6" s="5" t="s">
        <v>10</v>
      </c>
      <c r="J6" s="5" t="s">
        <v>11</v>
      </c>
    </row>
    <row r="7" spans="1:21" x14ac:dyDescent="0.3">
      <c r="A7" s="1" t="s">
        <v>12</v>
      </c>
      <c r="B7" s="1"/>
      <c r="C7" s="1"/>
      <c r="D7" s="1">
        <v>0.1</v>
      </c>
      <c r="E7" s="1">
        <v>0.25</v>
      </c>
      <c r="F7" s="1">
        <v>0.08</v>
      </c>
      <c r="G7" s="1">
        <v>0.21</v>
      </c>
      <c r="H7" s="1">
        <v>1200</v>
      </c>
      <c r="I7" s="6">
        <f>SUMPRODUCT($D$13:$G$13,D7:G7)</f>
        <v>6.25</v>
      </c>
      <c r="J7" s="1">
        <f>H7-I7</f>
        <v>1193.75</v>
      </c>
    </row>
    <row r="8" spans="1:21" x14ac:dyDescent="0.3">
      <c r="A8" s="1" t="s">
        <v>13</v>
      </c>
      <c r="B8" s="1"/>
      <c r="C8" s="1"/>
      <c r="D8" s="1">
        <v>3</v>
      </c>
      <c r="E8" s="1">
        <v>3</v>
      </c>
      <c r="F8" s="1">
        <v>1</v>
      </c>
      <c r="G8" s="1">
        <v>1</v>
      </c>
      <c r="H8" s="1">
        <v>1200</v>
      </c>
      <c r="I8" s="6">
        <f>SUMPRODUCT($D$13:$G$13,D8:G8)</f>
        <v>75</v>
      </c>
      <c r="J8" s="1">
        <f>H8-I8</f>
        <v>1125</v>
      </c>
    </row>
    <row r="9" spans="1:21" x14ac:dyDescent="0.3">
      <c r="A9" s="1" t="s">
        <v>14</v>
      </c>
      <c r="B9" s="1"/>
      <c r="C9" s="1"/>
      <c r="D9" s="1">
        <v>36</v>
      </c>
      <c r="E9" s="1">
        <v>48</v>
      </c>
      <c r="F9" s="1">
        <v>25</v>
      </c>
      <c r="G9" s="1">
        <v>35</v>
      </c>
      <c r="H9" s="1">
        <v>1200</v>
      </c>
      <c r="I9" s="6">
        <f>SUMPRODUCT($D$13:$G$13,D9:G9)</f>
        <v>1200</v>
      </c>
      <c r="J9" s="1">
        <f>H9-I9</f>
        <v>0</v>
      </c>
    </row>
    <row r="10" spans="1:21" x14ac:dyDescent="0.3">
      <c r="A10" s="1" t="s">
        <v>15</v>
      </c>
      <c r="B10" s="1"/>
      <c r="C10" s="1"/>
      <c r="D10" s="1">
        <v>1</v>
      </c>
      <c r="E10" s="1">
        <v>1</v>
      </c>
      <c r="F10" s="1"/>
      <c r="G10" s="1"/>
      <c r="H10" s="1">
        <v>500</v>
      </c>
      <c r="I10" s="6">
        <f>SUMPRODUCT($D$13:$G$13,D10:G10)</f>
        <v>25</v>
      </c>
      <c r="J10" s="1">
        <f>H10-I10</f>
        <v>475</v>
      </c>
    </row>
    <row r="11" spans="1:21" ht="15" thickBot="1" x14ac:dyDescent="0.35">
      <c r="A11" s="3" t="s">
        <v>16</v>
      </c>
      <c r="B11" s="3"/>
      <c r="C11" s="3"/>
      <c r="D11" s="3"/>
      <c r="E11" s="3"/>
      <c r="F11" s="3">
        <v>1</v>
      </c>
      <c r="G11" s="3">
        <v>1</v>
      </c>
      <c r="H11" s="3">
        <v>500</v>
      </c>
      <c r="I11" s="7">
        <f>SUMPRODUCT($D$13:$G$13,D11:G11)</f>
        <v>0</v>
      </c>
      <c r="J11" s="3">
        <f>H11-I11</f>
        <v>500</v>
      </c>
    </row>
    <row r="12" spans="1:2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21" x14ac:dyDescent="0.3">
      <c r="A13" s="1" t="s">
        <v>17</v>
      </c>
      <c r="B13" s="1"/>
      <c r="C13" s="1"/>
      <c r="D13" s="8">
        <v>0</v>
      </c>
      <c r="E13" s="8">
        <v>25</v>
      </c>
      <c r="F13" s="8">
        <v>0</v>
      </c>
      <c r="G13" s="8">
        <v>0</v>
      </c>
      <c r="H13" s="9"/>
      <c r="I13" s="1"/>
      <c r="J13" s="1"/>
    </row>
    <row r="14" spans="1:21" x14ac:dyDescent="0.3">
      <c r="A14" s="1" t="s">
        <v>18</v>
      </c>
      <c r="B14" s="1"/>
      <c r="C14" s="1"/>
      <c r="D14" s="10">
        <f>SUMPRODUCT(D5:G5,$D$13:$G$13)</f>
        <v>3125</v>
      </c>
      <c r="E14" s="11"/>
      <c r="F14" s="11"/>
      <c r="G14" s="11"/>
      <c r="H14" s="1"/>
      <c r="I14" s="1"/>
      <c r="J14" s="1"/>
    </row>
    <row r="15" spans="1:2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21" x14ac:dyDescent="0.3">
      <c r="A16" s="1" t="s">
        <v>19</v>
      </c>
      <c r="B16" s="1" t="s">
        <v>3</v>
      </c>
      <c r="C16" s="1" t="s">
        <v>20</v>
      </c>
      <c r="D16" s="1"/>
      <c r="E16" s="1"/>
      <c r="F16" s="1"/>
      <c r="G16" s="1"/>
      <c r="H16" s="1"/>
      <c r="I16" s="1"/>
      <c r="J16" s="1"/>
      <c r="R16" s="8">
        <v>0</v>
      </c>
      <c r="S16" s="8">
        <v>255</v>
      </c>
      <c r="T16" s="8">
        <v>247</v>
      </c>
      <c r="U16" s="8">
        <v>188</v>
      </c>
    </row>
    <row r="17" spans="1:10" x14ac:dyDescent="0.3">
      <c r="A17" s="1"/>
      <c r="B17" s="1" t="s">
        <v>4</v>
      </c>
      <c r="C17" s="1" t="s">
        <v>21</v>
      </c>
      <c r="D17" s="1"/>
      <c r="E17" s="1"/>
      <c r="F17" s="1"/>
      <c r="G17" s="1"/>
      <c r="H17" s="1"/>
      <c r="I17" s="1"/>
      <c r="J17" s="1"/>
    </row>
    <row r="18" spans="1:10" x14ac:dyDescent="0.3">
      <c r="A18" s="1"/>
      <c r="B18" s="1" t="s">
        <v>5</v>
      </c>
      <c r="C18" s="1" t="s">
        <v>22</v>
      </c>
      <c r="D18" s="1"/>
      <c r="E18" s="1"/>
      <c r="F18" s="1"/>
      <c r="G18" s="1"/>
      <c r="H18" s="1"/>
      <c r="I18" s="1"/>
      <c r="J18" s="1"/>
    </row>
    <row r="19" spans="1:10" x14ac:dyDescent="0.3">
      <c r="A19" s="1"/>
      <c r="B19" s="1" t="s">
        <v>6</v>
      </c>
      <c r="C19" s="1" t="s">
        <v>23</v>
      </c>
      <c r="D19" s="1"/>
      <c r="E19" s="1"/>
      <c r="F19" s="1"/>
      <c r="G19" s="1"/>
      <c r="H19" s="1"/>
      <c r="I19" s="1"/>
      <c r="J19" s="1"/>
    </row>
  </sheetData>
  <hyperlinks>
    <hyperlink ref="K1" r:id="rId1" xr:uid="{03C371E9-42B1-4A63-AEC4-E22078C3066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lForm">
                <anchor moveWithCells="1" sizeWithCells="1">
                  <from>
                    <xdr:col>11</xdr:col>
                    <xdr:colOff>510540</xdr:colOff>
                    <xdr:row>4</xdr:row>
                    <xdr:rowOff>76200</xdr:rowOff>
                  </from>
                  <to>
                    <xdr:col>15</xdr:col>
                    <xdr:colOff>457200</xdr:colOff>
                    <xdr:row>9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21958-799F-4FE9-ADF6-AD54A0AF1C7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Smaran Karthik</dc:creator>
  <cp:lastModifiedBy>Smaran Karthik</cp:lastModifiedBy>
  <dcterms:created xsi:type="dcterms:W3CDTF">2026-01-02T21:46:38Z</dcterms:created>
  <dcterms:modified xsi:type="dcterms:W3CDTF">2026-01-02T22:39:48Z</dcterms:modified>
</cp:coreProperties>
</file>